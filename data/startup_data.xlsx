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wnloads\Project Profit analysis\"/>
    </mc:Choice>
  </mc:AlternateContent>
  <xr:revisionPtr revIDLastSave="0" documentId="13_ncr:9_{E12B3AB9-A778-4513-A9D0-AD264E7E740D}" xr6:coauthVersionLast="47" xr6:coauthVersionMax="47" xr10:uidLastSave="{00000000-0000-0000-0000-000000000000}"/>
  <bookViews>
    <workbookView xWindow="-120" yWindow="-120" windowWidth="19440" windowHeight="10320" xr2:uid="{AD27DDE6-360A-4E0F-BDDA-B973AD48EDE3}"/>
  </bookViews>
  <sheets>
    <sheet name="Profit_analysiss" sheetId="1" r:id="rId1"/>
    <sheet name="Regression" sheetId="2" r:id="rId2"/>
  </sheets>
  <calcPr calcId="0"/>
</workbook>
</file>

<file path=xl/calcChain.xml><?xml version="1.0" encoding="utf-8"?>
<calcChain xmlns="http://schemas.openxmlformats.org/spreadsheetml/2006/main">
  <c r="G70" i="1" l="1"/>
  <c r="D70" i="1"/>
  <c r="D69" i="1"/>
  <c r="B65" i="1"/>
  <c r="B64" i="1"/>
  <c r="B63" i="1"/>
  <c r="B62" i="1"/>
</calcChain>
</file>

<file path=xl/sharedStrings.xml><?xml version="1.0" encoding="utf-8"?>
<sst xmlns="http://schemas.openxmlformats.org/spreadsheetml/2006/main" count="126" uniqueCount="45">
  <si>
    <t>RD_Spend</t>
  </si>
  <si>
    <t>Administration</t>
  </si>
  <si>
    <t>Marketing_Spend</t>
  </si>
  <si>
    <t>State</t>
  </si>
  <si>
    <t>Profit</t>
  </si>
  <si>
    <t>New York</t>
  </si>
  <si>
    <t>California</t>
  </si>
  <si>
    <t>Florida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</si>
  <si>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</si>
  <si>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</si>
  <si>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</si>
  <si>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</si>
  <si>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</si>
  <si>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</si>
  <si>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</si>
  <si>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</si>
  <si>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</si>
  <si>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</si>
  <si>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</si>
  <si>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</si>
  <si>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</si>
  <si>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</si>
  <si>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</si>
  <si>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</si>
  <si>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</si>
  <si>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</si>
  <si>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</si>
  <si>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</si>
  <si>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</si>
  <si>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</si>
  <si>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</si>
  <si>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</si>
  <si>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Prediction Section</t>
  </si>
  <si>
    <t>RD Coefficient</t>
  </si>
  <si>
    <t>Admin Coefficient</t>
  </si>
  <si>
    <t>Marketing Coefficient</t>
  </si>
  <si>
    <t>Predicted Profit</t>
  </si>
  <si>
    <t xml:space="preserve"> Marketing</t>
  </si>
  <si>
    <t>R&amp;D</t>
  </si>
  <si>
    <t>R² = 0.9507</t>
  </si>
  <si>
    <t xml:space="preserve">Profit </t>
  </si>
  <si>
    <t>(R&amp;D)</t>
  </si>
  <si>
    <t>Admin</t>
  </si>
  <si>
    <t>− 0.0268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</si>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</sst>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CB12EF16-4C54-4F17-9624-9BA75B4AEA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004E-5042-4045-8A7C-ACD7EE644CE6}">
  <dimension ref="A1:Q73"/>
  <sheetViews>
    <sheetView tabSelected="1" topLeftCell="A49" zoomScale="85" zoomScaleNormal="85" workbookViewId="0">
      <selection activeCell="E74" sqref="E74"/>
    </sheetView>
  </sheetViews>
  <sheetFormatPr defaultRowHeight="15" x14ac:dyDescent="0.25"/>
  <cols>
    <col min="1" max="1" width="21.140625" bestFit="1" customWidth="1"/>
    <col min="2" max="2" width="15.140625" bestFit="1" customWidth="1"/>
    <col min="3" max="3" width="17.28515625" bestFit="1" customWidth="1"/>
    <col min="4" max="4" width="15.28515625" bestFit="1" customWidth="1"/>
    <col min="5" max="5" width="10.28515625" bestFit="1" customWidth="1"/>
    <col min="6" max="6" width="10.5703125" bestFit="1" customWidth="1"/>
    <col min="9" max="9" width="18.140625" bestFit="1" customWidth="1"/>
    <col min="10" max="10" width="12.85546875" bestFit="1" customWidth="1"/>
    <col min="11" max="11" width="14.5703125" bestFit="1" customWidth="1"/>
    <col min="12" max="12" width="12.85546875" bestFit="1" customWidth="1"/>
    <col min="13" max="13" width="12.28515625" bestFit="1" customWidth="1"/>
    <col min="14" max="14" width="13.42578125" bestFit="1" customWidth="1"/>
    <col min="15" max="15" width="12.28515625" bestFit="1" customWidth="1"/>
    <col min="16" max="16" width="12.85546875" bestFit="1" customWidth="1"/>
    <col min="17" max="17" width="12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25">
      <c r="A2">
        <v>165349.20000000001</v>
      </c>
      <c r="B2">
        <v>136897.79999999999</v>
      </c>
      <c r="C2">
        <v>471784.1</v>
      </c>
      <c r="D2" t="s">
        <v>5</v>
      </c>
      <c r="E2">
        <v>192261.83</v>
      </c>
      <c r="I2" t="s">
        <v>8</v>
      </c>
    </row>
    <row r="3" spans="1:14" ht="15.75" thickBot="1" x14ac:dyDescent="0.3">
      <c r="A3">
        <v>162597.70000000001</v>
      </c>
      <c r="B3">
        <v>151377.59</v>
      </c>
      <c r="C3">
        <v>443898.53</v>
      </c>
      <c r="D3" t="s">
        <v>6</v>
      </c>
      <c r="E3">
        <v>191792.06</v>
      </c>
    </row>
    <row r="4" spans="1:14" x14ac:dyDescent="0.25">
      <c r="A4">
        <v>153441.51</v>
      </c>
      <c r="B4">
        <v>101145.55</v>
      </c>
      <c r="C4">
        <v>407934.54</v>
      </c>
      <c r="D4" t="s">
        <v>7</v>
      </c>
      <c r="E4">
        <v>191050.39</v>
      </c>
      <c r="I4" s="4" t="s">
        <v>9</v>
      </c>
      <c r="J4" s="4"/>
    </row>
    <row r="5" spans="1:14" x14ac:dyDescent="0.25">
      <c r="A5">
        <v>144372.41</v>
      </c>
      <c r="B5">
        <v>118671.85</v>
      </c>
      <c r="C5">
        <v>383199.62</v>
      </c>
      <c r="D5" t="s">
        <v>5</v>
      </c>
      <c r="E5">
        <v>182901.99</v>
      </c>
      <c r="I5" s="1" t="s">
        <v>10</v>
      </c>
      <c r="J5" s="1">
        <v>0.97506204626594128</v>
      </c>
    </row>
    <row r="6" spans="1:14" x14ac:dyDescent="0.25">
      <c r="A6">
        <v>142107.34</v>
      </c>
      <c r="B6">
        <v>91391.77</v>
      </c>
      <c r="C6">
        <v>366168.42</v>
      </c>
      <c r="D6" t="s">
        <v>7</v>
      </c>
      <c r="E6">
        <v>166187.94</v>
      </c>
      <c r="I6" s="1" t="s">
        <v>11</v>
      </c>
      <c r="J6" s="1">
        <v>0.95074599406832461</v>
      </c>
    </row>
    <row r="7" spans="1:14" x14ac:dyDescent="0.25">
      <c r="A7">
        <v>131876.9</v>
      </c>
      <c r="B7">
        <v>99814.71</v>
      </c>
      <c r="C7">
        <v>362861.36</v>
      </c>
      <c r="D7" t="s">
        <v>5</v>
      </c>
      <c r="E7">
        <v>156991.12</v>
      </c>
      <c r="I7" s="1" t="s">
        <v>12</v>
      </c>
      <c r="J7" s="1">
        <v>0.94753377629017177</v>
      </c>
    </row>
    <row r="8" spans="1:14" x14ac:dyDescent="0.25">
      <c r="A8">
        <v>134615.46</v>
      </c>
      <c r="B8">
        <v>147198.87</v>
      </c>
      <c r="C8">
        <v>127716.82</v>
      </c>
      <c r="D8" t="s">
        <v>6</v>
      </c>
      <c r="E8">
        <v>156122.51</v>
      </c>
      <c r="I8" s="1" t="s">
        <v>13</v>
      </c>
      <c r="J8" s="1">
        <v>9232.3348370026924</v>
      </c>
    </row>
    <row r="9" spans="1:14" ht="15.75" thickBot="1" x14ac:dyDescent="0.3">
      <c r="A9">
        <v>130298.13</v>
      </c>
      <c r="B9">
        <v>145530.06</v>
      </c>
      <c r="C9">
        <v>323876.68</v>
      </c>
      <c r="D9" t="s">
        <v>7</v>
      </c>
      <c r="E9">
        <v>155752.6</v>
      </c>
      <c r="I9" s="2" t="s">
        <v>14</v>
      </c>
      <c r="J9" s="2">
        <v>50</v>
      </c>
    </row>
    <row r="10" spans="1:14" x14ac:dyDescent="0.25">
      <c r="A10">
        <v>120542.52</v>
      </c>
      <c r="B10">
        <v>148718.95000000001</v>
      </c>
      <c r="C10">
        <v>311613.28999999998</v>
      </c>
      <c r="D10" t="s">
        <v>5</v>
      </c>
      <c r="E10">
        <v>152211.76999999999</v>
      </c>
    </row>
    <row r="11" spans="1:14" ht="15.75" thickBot="1" x14ac:dyDescent="0.3">
      <c r="A11">
        <v>123334.88</v>
      </c>
      <c r="B11">
        <v>108679.17</v>
      </c>
      <c r="C11">
        <v>304981.62</v>
      </c>
      <c r="D11" t="s">
        <v>6</v>
      </c>
      <c r="E11">
        <v>149759.96</v>
      </c>
      <c r="I11" t="s">
        <v>15</v>
      </c>
    </row>
    <row r="12" spans="1:14" x14ac:dyDescent="0.25">
      <c r="A12">
        <v>101913.08</v>
      </c>
      <c r="B12">
        <v>110594.11</v>
      </c>
      <c r="C12">
        <v>229160.95</v>
      </c>
      <c r="D12" t="s">
        <v>7</v>
      </c>
      <c r="E12">
        <v>146121.95000000001</v>
      </c>
      <c r="I12" s="3"/>
      <c r="J12" s="3" t="s">
        <v>20</v>
      </c>
      <c r="K12" s="3" t="s">
        <v>21</v>
      </c>
      <c r="L12" s="3" t="s">
        <v>22</v>
      </c>
      <c r="M12" s="3" t="s">
        <v>23</v>
      </c>
      <c r="N12" s="3" t="s">
        <v>24</v>
      </c>
    </row>
    <row r="13" spans="1:14" x14ac:dyDescent="0.25">
      <c r="A13">
        <v>100671.96</v>
      </c>
      <c r="B13">
        <v>91790.61</v>
      </c>
      <c r="C13">
        <v>249744.55</v>
      </c>
      <c r="D13" t="s">
        <v>6</v>
      </c>
      <c r="E13">
        <v>144259.4</v>
      </c>
      <c r="I13" s="1" t="s">
        <v>16</v>
      </c>
      <c r="J13" s="1">
        <v>3</v>
      </c>
      <c r="K13" s="1">
        <v>75683964196.192642</v>
      </c>
      <c r="L13" s="1">
        <v>25227988065.397549</v>
      </c>
      <c r="M13" s="1">
        <v>295.97806242610113</v>
      </c>
      <c r="N13" s="1">
        <v>4.5285063201720611E-30</v>
      </c>
    </row>
    <row r="14" spans="1:14" x14ac:dyDescent="0.25">
      <c r="A14">
        <v>93863.75</v>
      </c>
      <c r="B14">
        <v>127320.38</v>
      </c>
      <c r="C14">
        <v>249839.44</v>
      </c>
      <c r="D14" t="s">
        <v>7</v>
      </c>
      <c r="E14">
        <v>141585.51999999999</v>
      </c>
      <c r="I14" s="1" t="s">
        <v>17</v>
      </c>
      <c r="J14" s="1">
        <v>46</v>
      </c>
      <c r="K14" s="1">
        <v>3920856300.956542</v>
      </c>
      <c r="L14" s="1">
        <v>85236006.542533517</v>
      </c>
      <c r="M14" s="1"/>
      <c r="N14" s="1"/>
    </row>
    <row r="15" spans="1:14" ht="15.75" thickBot="1" x14ac:dyDescent="0.3">
      <c r="A15">
        <v>91992.39</v>
      </c>
      <c r="B15">
        <v>135495.07</v>
      </c>
      <c r="C15">
        <v>252664.93</v>
      </c>
      <c r="D15" t="s">
        <v>6</v>
      </c>
      <c r="E15">
        <v>134307.35</v>
      </c>
      <c r="I15" s="2" t="s">
        <v>18</v>
      </c>
      <c r="J15" s="2">
        <v>49</v>
      </c>
      <c r="K15" s="2">
        <v>79604820497.149185</v>
      </c>
      <c r="L15" s="2"/>
      <c r="M15" s="2"/>
      <c r="N15" s="2"/>
    </row>
    <row r="16" spans="1:14" ht="15.75" thickBot="1" x14ac:dyDescent="0.3">
      <c r="A16">
        <v>119943.24</v>
      </c>
      <c r="B16">
        <v>156547.42000000001</v>
      </c>
      <c r="C16">
        <v>256512.92</v>
      </c>
      <c r="D16" t="s">
        <v>7</v>
      </c>
      <c r="E16">
        <v>132602.65</v>
      </c>
    </row>
    <row r="17" spans="1:17" x14ac:dyDescent="0.25">
      <c r="A17">
        <v>114523.61</v>
      </c>
      <c r="B17">
        <v>122616.84</v>
      </c>
      <c r="C17">
        <v>261776.23</v>
      </c>
      <c r="D17" t="s">
        <v>5</v>
      </c>
      <c r="E17">
        <v>129917.04</v>
      </c>
      <c r="I17" s="3"/>
      <c r="J17" s="3" t="s">
        <v>25</v>
      </c>
      <c r="K17" s="3" t="s">
        <v>13</v>
      </c>
      <c r="L17" s="3" t="s">
        <v>26</v>
      </c>
      <c r="M17" s="3" t="s">
        <v>27</v>
      </c>
      <c r="N17" s="3" t="s">
        <v>28</v>
      </c>
      <c r="O17" s="3" t="s">
        <v>29</v>
      </c>
      <c r="P17" s="3" t="s">
        <v>30</v>
      </c>
      <c r="Q17" s="3" t="s">
        <v>31</v>
      </c>
    </row>
    <row r="18" spans="1:17" x14ac:dyDescent="0.25">
      <c r="A18">
        <v>78013.11</v>
      </c>
      <c r="B18">
        <v>121597.55</v>
      </c>
      <c r="C18">
        <v>264346.06</v>
      </c>
      <c r="D18" t="s">
        <v>6</v>
      </c>
      <c r="E18">
        <v>126992.93</v>
      </c>
      <c r="I18" s="1" t="s">
        <v>19</v>
      </c>
      <c r="J18" s="1">
        <v>50122.192989865282</v>
      </c>
      <c r="K18" s="1">
        <v>6572.3526215324682</v>
      </c>
      <c r="L18" s="1">
        <v>7.6262178668950273</v>
      </c>
      <c r="M18" s="1">
        <v>1.0573791602334319E-9</v>
      </c>
      <c r="N18" s="1">
        <v>36892.733323435998</v>
      </c>
      <c r="O18" s="1">
        <v>63351.652656294566</v>
      </c>
      <c r="P18" s="1">
        <v>36892.733323435998</v>
      </c>
      <c r="Q18" s="1">
        <v>63351.652656294566</v>
      </c>
    </row>
    <row r="19" spans="1:17" x14ac:dyDescent="0.25">
      <c r="A19">
        <v>94657.16</v>
      </c>
      <c r="B19">
        <v>145077.57999999999</v>
      </c>
      <c r="C19">
        <v>282574.31</v>
      </c>
      <c r="D19" t="s">
        <v>5</v>
      </c>
      <c r="E19">
        <v>125370.37</v>
      </c>
      <c r="I19" s="1" t="s">
        <v>0</v>
      </c>
      <c r="J19" s="1">
        <v>0.80571504991574339</v>
      </c>
      <c r="K19" s="1">
        <v>4.5147269728517771E-2</v>
      </c>
      <c r="L19" s="1">
        <v>17.846373762150328</v>
      </c>
      <c r="M19" s="1">
        <v>2.6349677214705453E-22</v>
      </c>
      <c r="N19" s="1">
        <v>0.71483830937598158</v>
      </c>
      <c r="O19" s="1">
        <v>0.89659179045550519</v>
      </c>
      <c r="P19" s="1">
        <v>0.71483830937598158</v>
      </c>
      <c r="Q19" s="1">
        <v>0.89659179045550519</v>
      </c>
    </row>
    <row r="20" spans="1:17" x14ac:dyDescent="0.25">
      <c r="A20">
        <v>91749.16</v>
      </c>
      <c r="B20">
        <v>114175.79</v>
      </c>
      <c r="C20">
        <v>294919.57</v>
      </c>
      <c r="D20" t="s">
        <v>7</v>
      </c>
      <c r="E20">
        <v>124266.9</v>
      </c>
      <c r="I20" s="1" t="s">
        <v>1</v>
      </c>
      <c r="J20" s="1">
        <v>-2.6815968394751061E-2</v>
      </c>
      <c r="K20" s="1">
        <v>5.1028779938751379E-2</v>
      </c>
      <c r="L20" s="1">
        <v>-0.52550675181608542</v>
      </c>
      <c r="M20" s="1">
        <v>0.60175510784974762</v>
      </c>
      <c r="N20" s="1">
        <v>-0.12953157495169182</v>
      </c>
      <c r="O20" s="1">
        <v>7.5899638162189684E-2</v>
      </c>
      <c r="P20" s="1">
        <v>-0.12953157495169182</v>
      </c>
      <c r="Q20" s="1">
        <v>7.5899638162189684E-2</v>
      </c>
    </row>
    <row r="21" spans="1:17" ht="15.75" thickBot="1" x14ac:dyDescent="0.3">
      <c r="A21">
        <v>86419.7</v>
      </c>
      <c r="B21">
        <v>153514.10999999999</v>
      </c>
      <c r="C21">
        <v>0</v>
      </c>
      <c r="D21" t="s">
        <v>5</v>
      </c>
      <c r="E21">
        <v>122776.86</v>
      </c>
      <c r="I21" s="2" t="s">
        <v>2</v>
      </c>
      <c r="J21" s="2">
        <v>2.7228064800818939E-2</v>
      </c>
      <c r="K21" s="2">
        <v>1.645123451799518E-2</v>
      </c>
      <c r="L21" s="2">
        <v>1.6550772995811058</v>
      </c>
      <c r="M21" s="2">
        <v>0.10471681926658105</v>
      </c>
      <c r="N21" s="2">
        <v>-5.8865527572449679E-3</v>
      </c>
      <c r="O21" s="2">
        <v>6.0342682358882849E-2</v>
      </c>
      <c r="P21" s="2">
        <v>-5.8865527572449679E-3</v>
      </c>
      <c r="Q21" s="2">
        <v>6.0342682358882849E-2</v>
      </c>
    </row>
    <row r="22" spans="1:17" x14ac:dyDescent="0.25">
      <c r="A22">
        <v>76253.86</v>
      </c>
      <c r="B22">
        <v>113867.3</v>
      </c>
      <c r="C22">
        <v>298664.46999999997</v>
      </c>
      <c r="D22" t="s">
        <v>6</v>
      </c>
      <c r="E22">
        <v>118474.03</v>
      </c>
    </row>
    <row r="23" spans="1:17" x14ac:dyDescent="0.25">
      <c r="A23">
        <v>78389.47</v>
      </c>
      <c r="B23">
        <v>153773.43</v>
      </c>
      <c r="C23">
        <v>299737.28999999998</v>
      </c>
      <c r="D23" t="s">
        <v>5</v>
      </c>
      <c r="E23">
        <v>111313.02</v>
      </c>
    </row>
    <row r="24" spans="1:17" x14ac:dyDescent="0.25">
      <c r="A24">
        <v>73994.559999999998</v>
      </c>
      <c r="B24">
        <v>122782.75</v>
      </c>
      <c r="C24">
        <v>303319.26</v>
      </c>
      <c r="D24" t="s">
        <v>7</v>
      </c>
      <c r="E24">
        <v>110352.25</v>
      </c>
    </row>
    <row r="25" spans="1:17" x14ac:dyDescent="0.25">
      <c r="A25">
        <v>67532.53</v>
      </c>
      <c r="B25">
        <v>105751.03</v>
      </c>
      <c r="C25">
        <v>304768.73</v>
      </c>
      <c r="D25" t="s">
        <v>7</v>
      </c>
      <c r="E25">
        <v>108733.99</v>
      </c>
    </row>
    <row r="26" spans="1:17" x14ac:dyDescent="0.25">
      <c r="A26">
        <v>77044.009999999995</v>
      </c>
      <c r="B26">
        <v>99281.34</v>
      </c>
      <c r="C26">
        <v>140574.81</v>
      </c>
      <c r="D26" t="s">
        <v>5</v>
      </c>
      <c r="E26">
        <v>108552.04</v>
      </c>
    </row>
    <row r="27" spans="1:17" x14ac:dyDescent="0.25">
      <c r="A27">
        <v>64664.71</v>
      </c>
      <c r="B27">
        <v>139553.16</v>
      </c>
      <c r="C27">
        <v>137962.62</v>
      </c>
      <c r="D27" t="s">
        <v>6</v>
      </c>
      <c r="E27">
        <v>107404.34</v>
      </c>
    </row>
    <row r="28" spans="1:17" x14ac:dyDescent="0.25">
      <c r="A28">
        <v>75328.87</v>
      </c>
      <c r="B28">
        <v>144135.98000000001</v>
      </c>
      <c r="C28">
        <v>134050.07</v>
      </c>
      <c r="D28" t="s">
        <v>7</v>
      </c>
      <c r="E28">
        <v>105733.54</v>
      </c>
    </row>
    <row r="29" spans="1:17" x14ac:dyDescent="0.25">
      <c r="A29">
        <v>72107.600000000006</v>
      </c>
      <c r="B29">
        <v>127864.55</v>
      </c>
      <c r="C29">
        <v>353183.81</v>
      </c>
      <c r="D29" t="s">
        <v>5</v>
      </c>
      <c r="E29">
        <v>105008.31</v>
      </c>
    </row>
    <row r="30" spans="1:17" x14ac:dyDescent="0.25">
      <c r="A30">
        <v>66051.520000000004</v>
      </c>
      <c r="B30">
        <v>182645.56</v>
      </c>
      <c r="C30">
        <v>118148.2</v>
      </c>
      <c r="D30" t="s">
        <v>7</v>
      </c>
      <c r="E30">
        <v>103282.38</v>
      </c>
    </row>
    <row r="31" spans="1:17" x14ac:dyDescent="0.25">
      <c r="A31">
        <v>65605.48</v>
      </c>
      <c r="B31">
        <v>153032.06</v>
      </c>
      <c r="C31">
        <v>107138.38</v>
      </c>
      <c r="D31" t="s">
        <v>5</v>
      </c>
      <c r="E31">
        <v>101004.64</v>
      </c>
    </row>
    <row r="32" spans="1:17" x14ac:dyDescent="0.25">
      <c r="A32">
        <v>61994.48</v>
      </c>
      <c r="B32">
        <v>115641.28</v>
      </c>
      <c r="C32">
        <v>91131.24</v>
      </c>
      <c r="D32" t="s">
        <v>7</v>
      </c>
      <c r="E32">
        <v>99937.59</v>
      </c>
    </row>
    <row r="33" spans="1:5" x14ac:dyDescent="0.25">
      <c r="A33">
        <v>61136.38</v>
      </c>
      <c r="B33">
        <v>152701.92000000001</v>
      </c>
      <c r="C33">
        <v>88218.23</v>
      </c>
      <c r="D33" t="s">
        <v>5</v>
      </c>
      <c r="E33">
        <v>97483.56</v>
      </c>
    </row>
    <row r="34" spans="1:5" x14ac:dyDescent="0.25">
      <c r="A34">
        <v>63408.86</v>
      </c>
      <c r="B34">
        <v>129219.61</v>
      </c>
      <c r="C34">
        <v>46085.25</v>
      </c>
      <c r="D34" t="s">
        <v>6</v>
      </c>
      <c r="E34">
        <v>97427.839999999997</v>
      </c>
    </row>
    <row r="35" spans="1:5" x14ac:dyDescent="0.25">
      <c r="A35">
        <v>55493.95</v>
      </c>
      <c r="B35">
        <v>103057.49</v>
      </c>
      <c r="C35">
        <v>214634.81</v>
      </c>
      <c r="D35" t="s">
        <v>7</v>
      </c>
      <c r="E35">
        <v>96778.92</v>
      </c>
    </row>
    <row r="36" spans="1:5" x14ac:dyDescent="0.25">
      <c r="A36">
        <v>46426.07</v>
      </c>
      <c r="B36">
        <v>157693.92000000001</v>
      </c>
      <c r="C36">
        <v>210797.67</v>
      </c>
      <c r="D36" t="s">
        <v>6</v>
      </c>
      <c r="E36">
        <v>96712.8</v>
      </c>
    </row>
    <row r="37" spans="1:5" x14ac:dyDescent="0.25">
      <c r="A37">
        <v>46014.02</v>
      </c>
      <c r="B37">
        <v>85047.44</v>
      </c>
      <c r="C37">
        <v>205517.64</v>
      </c>
      <c r="D37" t="s">
        <v>5</v>
      </c>
      <c r="E37">
        <v>96479.51</v>
      </c>
    </row>
    <row r="38" spans="1:5" x14ac:dyDescent="0.25">
      <c r="A38">
        <v>28663.759999999998</v>
      </c>
      <c r="B38">
        <v>127056.21</v>
      </c>
      <c r="C38">
        <v>201126.82</v>
      </c>
      <c r="D38" t="s">
        <v>7</v>
      </c>
      <c r="E38">
        <v>90708.19</v>
      </c>
    </row>
    <row r="39" spans="1:5" x14ac:dyDescent="0.25">
      <c r="A39">
        <v>44069.95</v>
      </c>
      <c r="B39">
        <v>51283.14</v>
      </c>
      <c r="C39">
        <v>197029.42</v>
      </c>
      <c r="D39" t="s">
        <v>6</v>
      </c>
      <c r="E39">
        <v>89949.14</v>
      </c>
    </row>
    <row r="40" spans="1:5" x14ac:dyDescent="0.25">
      <c r="A40">
        <v>20229.59</v>
      </c>
      <c r="B40">
        <v>65947.929999999993</v>
      </c>
      <c r="C40">
        <v>185265.1</v>
      </c>
      <c r="D40" t="s">
        <v>5</v>
      </c>
      <c r="E40">
        <v>81229.06</v>
      </c>
    </row>
    <row r="41" spans="1:5" x14ac:dyDescent="0.25">
      <c r="A41">
        <v>38558.51</v>
      </c>
      <c r="B41">
        <v>82982.09</v>
      </c>
      <c r="C41">
        <v>174999.3</v>
      </c>
      <c r="D41" t="s">
        <v>6</v>
      </c>
      <c r="E41">
        <v>81005.759999999995</v>
      </c>
    </row>
    <row r="42" spans="1:5" x14ac:dyDescent="0.25">
      <c r="A42">
        <v>28754.33</v>
      </c>
      <c r="B42">
        <v>118546.05</v>
      </c>
      <c r="C42">
        <v>172795.67</v>
      </c>
      <c r="D42" t="s">
        <v>6</v>
      </c>
      <c r="E42">
        <v>78239.91</v>
      </c>
    </row>
    <row r="43" spans="1:5" x14ac:dyDescent="0.25">
      <c r="A43">
        <v>27892.92</v>
      </c>
      <c r="B43">
        <v>84710.77</v>
      </c>
      <c r="C43">
        <v>164470.71</v>
      </c>
      <c r="D43" t="s">
        <v>7</v>
      </c>
      <c r="E43">
        <v>77798.83</v>
      </c>
    </row>
    <row r="44" spans="1:5" x14ac:dyDescent="0.25">
      <c r="A44">
        <v>23640.93</v>
      </c>
      <c r="B44">
        <v>96189.63</v>
      </c>
      <c r="C44">
        <v>148001.10999999999</v>
      </c>
      <c r="D44" t="s">
        <v>6</v>
      </c>
      <c r="E44">
        <v>71498.490000000005</v>
      </c>
    </row>
    <row r="45" spans="1:5" x14ac:dyDescent="0.25">
      <c r="A45">
        <v>15505.73</v>
      </c>
      <c r="B45">
        <v>127382.3</v>
      </c>
      <c r="C45">
        <v>35534.17</v>
      </c>
      <c r="D45" t="s">
        <v>5</v>
      </c>
      <c r="E45">
        <v>69758.98</v>
      </c>
    </row>
    <row r="46" spans="1:5" x14ac:dyDescent="0.25">
      <c r="A46">
        <v>22177.74</v>
      </c>
      <c r="B46">
        <v>154806.14000000001</v>
      </c>
      <c r="C46">
        <v>28334.720000000001</v>
      </c>
      <c r="D46" t="s">
        <v>6</v>
      </c>
      <c r="E46">
        <v>65200.33</v>
      </c>
    </row>
    <row r="47" spans="1:5" x14ac:dyDescent="0.25">
      <c r="A47">
        <v>1000.23</v>
      </c>
      <c r="B47">
        <v>124153.04</v>
      </c>
      <c r="C47">
        <v>1903.93</v>
      </c>
      <c r="D47" t="s">
        <v>5</v>
      </c>
      <c r="E47">
        <v>64926.080000000002</v>
      </c>
    </row>
    <row r="48" spans="1:5" x14ac:dyDescent="0.25">
      <c r="A48">
        <v>1315.46</v>
      </c>
      <c r="B48">
        <v>115816.21</v>
      </c>
      <c r="C48">
        <v>297114.46000000002</v>
      </c>
      <c r="D48" t="s">
        <v>7</v>
      </c>
      <c r="E48">
        <v>49490.75</v>
      </c>
    </row>
    <row r="49" spans="1:5" x14ac:dyDescent="0.25">
      <c r="A49">
        <v>0</v>
      </c>
      <c r="B49">
        <v>135426.92000000001</v>
      </c>
      <c r="C49">
        <v>0</v>
      </c>
      <c r="D49" t="s">
        <v>6</v>
      </c>
      <c r="E49">
        <v>42559.73</v>
      </c>
    </row>
    <row r="50" spans="1:5" x14ac:dyDescent="0.25">
      <c r="A50">
        <v>542.04999999999995</v>
      </c>
      <c r="B50">
        <v>51743.15</v>
      </c>
      <c r="C50">
        <v>0</v>
      </c>
      <c r="D50" t="s">
        <v>5</v>
      </c>
      <c r="E50">
        <v>35673.410000000003</v>
      </c>
    </row>
    <row r="51" spans="1:5" x14ac:dyDescent="0.25">
      <c r="A51">
        <v>0</v>
      </c>
      <c r="B51">
        <v>116983.8</v>
      </c>
      <c r="C51">
        <v>45173.06</v>
      </c>
      <c r="D51" t="s">
        <v>6</v>
      </c>
      <c r="E51">
        <v>14681.4</v>
      </c>
    </row>
    <row r="60" spans="1:5" x14ac:dyDescent="0.25">
      <c r="A60" t="s">
        <v>32</v>
      </c>
    </row>
    <row r="62" spans="1:5" x14ac:dyDescent="0.25">
      <c r="A62" t="s">
        <v>19</v>
      </c>
      <c r="B62">
        <f>J18</f>
        <v>50122.192989865282</v>
      </c>
    </row>
    <row r="63" spans="1:5" x14ac:dyDescent="0.25">
      <c r="A63" t="s">
        <v>33</v>
      </c>
      <c r="B63">
        <f>J19</f>
        <v>0.80571504991574339</v>
      </c>
    </row>
    <row r="64" spans="1:5" x14ac:dyDescent="0.25">
      <c r="A64" t="s">
        <v>34</v>
      </c>
      <c r="B64">
        <f>J20</f>
        <v>-2.6815968394751061E-2</v>
      </c>
    </row>
    <row r="65" spans="1:7" x14ac:dyDescent="0.25">
      <c r="A65" t="s">
        <v>35</v>
      </c>
      <c r="B65">
        <f>J21</f>
        <v>2.7228064800818939E-2</v>
      </c>
    </row>
    <row r="68" spans="1:7" x14ac:dyDescent="0.25">
      <c r="A68" t="s">
        <v>38</v>
      </c>
      <c r="B68" t="s">
        <v>1</v>
      </c>
      <c r="C68" t="s">
        <v>37</v>
      </c>
      <c r="D68" t="s">
        <v>36</v>
      </c>
    </row>
    <row r="69" spans="1:7" x14ac:dyDescent="0.25">
      <c r="A69">
        <v>21892.92</v>
      </c>
      <c r="B69">
        <v>81910.77</v>
      </c>
      <c r="C69">
        <v>164270.70000000001</v>
      </c>
      <c r="D69">
        <f>$B$62 + ($B$63*A69) + ($B$64*B69) + ($B$65*C69)</f>
        <v>70037.904765432817</v>
      </c>
      <c r="G69" s="5" t="s">
        <v>39</v>
      </c>
    </row>
    <row r="70" spans="1:7" x14ac:dyDescent="0.25">
      <c r="A70">
        <v>23940.93</v>
      </c>
      <c r="B70">
        <v>96489.63</v>
      </c>
      <c r="C70">
        <v>137001.1</v>
      </c>
      <c r="D70">
        <f>$B$62 + ($B$63*A70) + ($B$64*B70) + ($B$65*C70)</f>
        <v>70554.572559926848</v>
      </c>
      <c r="F70" t="s">
        <v>40</v>
      </c>
      <c r="G70">
        <f xml:space="preserve"> 50122.19</f>
        <v>50122.19</v>
      </c>
    </row>
    <row r="71" spans="1:7" x14ac:dyDescent="0.25">
      <c r="F71" t="s">
        <v>41</v>
      </c>
      <c r="G71">
        <v>0.80569999999999997</v>
      </c>
    </row>
    <row r="72" spans="1:7" x14ac:dyDescent="0.25">
      <c r="F72" t="s">
        <v>42</v>
      </c>
      <c r="G72" t="s">
        <v>43</v>
      </c>
    </row>
    <row r="73" spans="1:7" x14ac:dyDescent="0.25">
      <c r="F73" t="s">
        <v>44</v>
      </c>
      <c r="G73">
        <v>2.7199999999999998E-2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AB61-178A-481C-B5D5-D7A342F95733}">
  <dimension ref="A1:I20"/>
  <sheetViews>
    <sheetView workbookViewId="0">
      <selection activeCell="F8" sqref="F8"/>
    </sheetView>
  </sheetViews>
  <sheetFormatPr defaultRowHeight="15" x14ac:dyDescent="0.25"/>
  <cols>
    <col min="1" max="1" width="18" bestFit="1" customWidth="1"/>
    <col min="2" max="2" width="12.7109375" bestFit="1" customWidth="1"/>
    <col min="3" max="3" width="14.5703125" bestFit="1" customWidth="1"/>
    <col min="4" max="4" width="12.7109375" bestFit="1" customWidth="1"/>
    <col min="5" max="5" width="12" bestFit="1" customWidth="1"/>
    <col min="6" max="6" width="13.42578125" bestFit="1" customWidth="1"/>
    <col min="7" max="7" width="12" bestFit="1" customWidth="1"/>
    <col min="8" max="8" width="12.7109375" bestFit="1" customWidth="1"/>
    <col min="9" max="9" width="12.5703125" bestFit="1" customWidth="1"/>
  </cols>
  <sheetData>
    <row r="1" spans="1:9" x14ac:dyDescent="0.25">
      <c r="A1" t="s">
        <v>8</v>
      </c>
    </row>
    <row r="2" spans="1:9" ht="15.75" thickBot="1" x14ac:dyDescent="0.3"/>
    <row r="3" spans="1:9" x14ac:dyDescent="0.25">
      <c r="A3" s="4" t="s">
        <v>9</v>
      </c>
      <c r="B3" s="4"/>
    </row>
    <row r="4" spans="1:9" x14ac:dyDescent="0.25">
      <c r="A4" s="1" t="s">
        <v>10</v>
      </c>
      <c r="B4" s="1">
        <v>0.97506204626594128</v>
      </c>
    </row>
    <row r="5" spans="1:9" x14ac:dyDescent="0.25">
      <c r="A5" s="1" t="s">
        <v>11</v>
      </c>
      <c r="B5" s="1">
        <v>0.95074599406832461</v>
      </c>
    </row>
    <row r="6" spans="1:9" x14ac:dyDescent="0.25">
      <c r="A6" s="1" t="s">
        <v>12</v>
      </c>
      <c r="B6" s="1">
        <v>0.94753377629017177</v>
      </c>
    </row>
    <row r="7" spans="1:9" x14ac:dyDescent="0.25">
      <c r="A7" s="1" t="s">
        <v>13</v>
      </c>
      <c r="B7" s="1">
        <v>9232.3348370026924</v>
      </c>
    </row>
    <row r="8" spans="1:9" ht="15.75" thickBot="1" x14ac:dyDescent="0.3">
      <c r="A8" s="2" t="s">
        <v>14</v>
      </c>
      <c r="B8" s="2">
        <v>50</v>
      </c>
    </row>
    <row r="10" spans="1:9" ht="15.75" thickBot="1" x14ac:dyDescent="0.3">
      <c r="A10" t="s">
        <v>15</v>
      </c>
    </row>
    <row r="11" spans="1:9" x14ac:dyDescent="0.25">
      <c r="A11" s="3"/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</row>
    <row r="12" spans="1:9" x14ac:dyDescent="0.25">
      <c r="A12" s="1" t="s">
        <v>16</v>
      </c>
      <c r="B12" s="1">
        <v>3</v>
      </c>
      <c r="C12" s="1">
        <v>75683964196.192642</v>
      </c>
      <c r="D12" s="1">
        <v>25227988065.397549</v>
      </c>
      <c r="E12" s="1">
        <v>295.97806242610113</v>
      </c>
      <c r="F12" s="1">
        <v>4.5285063201720611E-30</v>
      </c>
    </row>
    <row r="13" spans="1:9" x14ac:dyDescent="0.25">
      <c r="A13" s="1" t="s">
        <v>17</v>
      </c>
      <c r="B13" s="1">
        <v>46</v>
      </c>
      <c r="C13" s="1">
        <v>3920856300.956542</v>
      </c>
      <c r="D13" s="1">
        <v>85236006.542533517</v>
      </c>
      <c r="E13" s="1"/>
      <c r="F13" s="1"/>
    </row>
    <row r="14" spans="1:9" ht="15.75" thickBot="1" x14ac:dyDescent="0.3">
      <c r="A14" s="2" t="s">
        <v>18</v>
      </c>
      <c r="B14" s="2">
        <v>49</v>
      </c>
      <c r="C14" s="2">
        <v>79604820497.149185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25</v>
      </c>
      <c r="C16" s="3" t="s">
        <v>13</v>
      </c>
      <c r="D16" s="3" t="s">
        <v>26</v>
      </c>
      <c r="E16" s="3" t="s">
        <v>27</v>
      </c>
      <c r="F16" s="3" t="s">
        <v>28</v>
      </c>
      <c r="G16" s="3" t="s">
        <v>29</v>
      </c>
      <c r="H16" s="3" t="s">
        <v>30</v>
      </c>
      <c r="I16" s="3" t="s">
        <v>31</v>
      </c>
    </row>
    <row r="17" spans="1:9" x14ac:dyDescent="0.25">
      <c r="A17" s="1" t="s">
        <v>19</v>
      </c>
      <c r="B17" s="1">
        <v>50122.192989865282</v>
      </c>
      <c r="C17" s="1">
        <v>6572.3526215324682</v>
      </c>
      <c r="D17" s="1">
        <v>7.6262178668950273</v>
      </c>
      <c r="E17" s="1">
        <v>1.0573791602334319E-9</v>
      </c>
      <c r="F17" s="1">
        <v>36892.733323435998</v>
      </c>
      <c r="G17" s="1">
        <v>63351.652656294566</v>
      </c>
      <c r="H17" s="1">
        <v>36892.733323435998</v>
      </c>
      <c r="I17" s="1">
        <v>63351.652656294566</v>
      </c>
    </row>
    <row r="18" spans="1:9" x14ac:dyDescent="0.25">
      <c r="A18" s="1" t="s">
        <v>0</v>
      </c>
      <c r="B18" s="1">
        <v>0.80571504991574339</v>
      </c>
      <c r="C18" s="1">
        <v>4.5147269728517771E-2</v>
      </c>
      <c r="D18" s="1">
        <v>17.846373762150328</v>
      </c>
      <c r="E18" s="1">
        <v>2.6349677214705453E-22</v>
      </c>
      <c r="F18" s="1">
        <v>0.71483830937598158</v>
      </c>
      <c r="G18" s="1">
        <v>0.89659179045550519</v>
      </c>
      <c r="H18" s="1">
        <v>0.71483830937598158</v>
      </c>
      <c r="I18" s="1">
        <v>0.89659179045550519</v>
      </c>
    </row>
    <row r="19" spans="1:9" x14ac:dyDescent="0.25">
      <c r="A19" s="1" t="s">
        <v>1</v>
      </c>
      <c r="B19" s="1">
        <v>-2.6815968394751061E-2</v>
      </c>
      <c r="C19" s="1">
        <v>5.1028779938751379E-2</v>
      </c>
      <c r="D19" s="1">
        <v>-0.52550675181608542</v>
      </c>
      <c r="E19" s="1">
        <v>0.60175510784974762</v>
      </c>
      <c r="F19" s="1">
        <v>-0.12953157495169182</v>
      </c>
      <c r="G19" s="1">
        <v>7.5899638162189684E-2</v>
      </c>
      <c r="H19" s="1">
        <v>-0.12953157495169182</v>
      </c>
      <c r="I19" s="1">
        <v>7.5899638162189684E-2</v>
      </c>
    </row>
    <row r="20" spans="1:9" ht="15.75" thickBot="1" x14ac:dyDescent="0.3">
      <c r="A20" s="2" t="s">
        <v>2</v>
      </c>
      <c r="B20" s="2">
        <v>2.7228064800818939E-2</v>
      </c>
      <c r="C20" s="2">
        <v>1.645123451799518E-2</v>
      </c>
      <c r="D20" s="2">
        <v>1.6550772995811058</v>
      </c>
      <c r="E20" s="2">
        <v>0.10471681926658105</v>
      </c>
      <c r="F20" s="2">
        <v>-5.8865527572449679E-3</v>
      </c>
      <c r="G20" s="2">
        <v>6.0342682358882849E-2</v>
      </c>
      <c r="H20" s="2">
        <v>-5.8865527572449679E-3</v>
      </c>
      <c r="I20" s="2">
        <v>6.0342682358882849E-2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Profit_analysiss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</dc:creator>
  <cp:lastModifiedBy>ABDUL KHADAR</cp:lastModifiedBy>
  <dcterms:created xsi:type="dcterms:W3CDTF">2026-02-21T10:11:49Z</dcterms:created>
  <dcterms:modified xsi:type="dcterms:W3CDTF">2026-02-23T17:39:51Z</dcterms:modified>
</cp:coreProperties>
</file>